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.MVH32MW139\Desktop\"/>
    </mc:Choice>
  </mc:AlternateContent>
  <xr:revisionPtr revIDLastSave="0" documentId="13_ncr:1_{34C67890-4A01-4D6E-9467-A68BFD3915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2" i="2"/>
  <c r="E3" i="2"/>
  <c r="E4" i="2"/>
  <c r="E5" i="2"/>
  <c r="E6" i="2"/>
  <c r="E7" i="2"/>
  <c r="E8" i="2"/>
  <c r="E2" i="2"/>
</calcChain>
</file>

<file path=xl/sharedStrings.xml><?xml version="1.0" encoding="utf-8"?>
<sst xmlns="http://schemas.openxmlformats.org/spreadsheetml/2006/main" count="309" uniqueCount="68">
  <si>
    <t>600004418001</t>
  </si>
  <si>
    <t>5112000000245</t>
  </si>
  <si>
    <t>HOPCHARMTRON</t>
  </si>
  <si>
    <t>REGULAR</t>
  </si>
  <si>
    <t>BLACK</t>
  </si>
  <si>
    <t>D111</t>
  </si>
  <si>
    <t>1100</t>
  </si>
  <si>
    <t>802</t>
  </si>
  <si>
    <t/>
  </si>
  <si>
    <t>B07</t>
  </si>
  <si>
    <t>B99</t>
  </si>
  <si>
    <t>PD.MKT.A01</t>
  </si>
  <si>
    <t>PC</t>
  </si>
  <si>
    <t>0</t>
  </si>
  <si>
    <t>2000183083</t>
  </si>
  <si>
    <t>999</t>
  </si>
  <si>
    <t>001</t>
  </si>
  <si>
    <t>KIEMKE</t>
  </si>
  <si>
    <t>4912490502</t>
  </si>
  <si>
    <t>600004458001</t>
  </si>
  <si>
    <t>5112000000247</t>
  </si>
  <si>
    <t>JS-MRM-00012-B01</t>
  </si>
  <si>
    <t>600004459001</t>
  </si>
  <si>
    <t>5112000000248</t>
  </si>
  <si>
    <t>JS-MRM-00015-B01</t>
  </si>
  <si>
    <t>600005590001</t>
  </si>
  <si>
    <t>5112000000292</t>
  </si>
  <si>
    <t>JS-MRM-00018-C01</t>
  </si>
  <si>
    <t>600005591001</t>
  </si>
  <si>
    <t>5112000000293</t>
  </si>
  <si>
    <t>JS-MRM-00018-A01</t>
  </si>
  <si>
    <t>600005593001</t>
  </si>
  <si>
    <t>5112000000295</t>
  </si>
  <si>
    <t>JS-MRM-00018-B01</t>
  </si>
  <si>
    <t>600005760001</t>
  </si>
  <si>
    <t>5112000000297</t>
  </si>
  <si>
    <t>GWPCOMPACTMIRROR</t>
  </si>
  <si>
    <t>SILVER</t>
  </si>
  <si>
    <t>600005761002</t>
  </si>
  <si>
    <t>8887049523293</t>
  </si>
  <si>
    <t>PD-VN-IWDGWP26</t>
  </si>
  <si>
    <t>4912490505</t>
  </si>
  <si>
    <t>Article</t>
  </si>
  <si>
    <t>GTIN(Mã Barcode)</t>
  </si>
  <si>
    <t>Style Code</t>
  </si>
  <si>
    <t>Size</t>
  </si>
  <si>
    <t>Color</t>
  </si>
  <si>
    <t>Site</t>
  </si>
  <si>
    <t>Storage Location</t>
  </si>
  <si>
    <t>Storage Type</t>
  </si>
  <si>
    <t>Stock Category</t>
  </si>
  <si>
    <t>Storage Section Ind</t>
  </si>
  <si>
    <t>Storage Section</t>
  </si>
  <si>
    <t>Storage Bin</t>
  </si>
  <si>
    <t>Total Stock</t>
  </si>
  <si>
    <t>Available stock</t>
  </si>
  <si>
    <t>Putaway block</t>
  </si>
  <si>
    <t>Pick quantity</t>
  </si>
  <si>
    <t>Base Unit of Measure</t>
  </si>
  <si>
    <t>Batch</t>
  </si>
  <si>
    <t>TR Number</t>
  </si>
  <si>
    <t>Transfer Order Number</t>
  </si>
  <si>
    <t>GR Date</t>
  </si>
  <si>
    <t>CL</t>
  </si>
  <si>
    <t>PD-CHARM-G</t>
  </si>
  <si>
    <t>PD-CHARM-A</t>
  </si>
  <si>
    <t>JS-MRM-00016-A01</t>
  </si>
  <si>
    <t>JS-MRM-00017-A01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</si>
</sst>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2" xfId="0" applyFill="1" applyBorder="1" applyAlignment="1">
      <alignment vertical="top"/>
    </xf>
    <xf numFmtId="0" fontId="0" fillId="2" borderId="2" xfId="0" applyFill="1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1" fontId="0" fillId="0" borderId="0" xfId="0" applyNumberFormat="1" applyAlignment="1">
      <alignment vertical="top"/>
    </xf>
    <xf numFmtId="1" fontId="0" fillId="4" borderId="0" xfId="0" applyNumberFormat="1" applyFill="1" applyAlignment="1">
      <alignment vertical="top"/>
    </xf>
    <xf numFmtId="0" fontId="0" fillId="4" borderId="0" xfId="0" applyFill="1" applyAlignment="1">
      <alignment vertical="top"/>
    </xf>
  </cellXfs>
  <cellStyles count="1">
    <cellStyle name="Normal" xfId="0" builtinId="0"/>
  </cellStyles>
  <dxfs count="40"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indexed="2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alignment horizontal="right" vertical="top" textRotation="0" wrapText="0" indent="0" justifyLastLine="0" shrinkToFit="0" readingOrder="0"/>
    </dxf>
    <dxf>
      <numFmt numFmtId="3" formatCode="#,##0"/>
      <alignment horizontal="right" vertical="top" textRotation="0" wrapText="0" indent="0" justifyLastLine="0" shrinkToFit="0" readingOrder="0"/>
    </dxf>
    <dxf>
      <numFmt numFmtId="3" formatCode="#,##0"/>
      <alignment horizontal="right" vertical="top" textRotation="0" wrapText="0" indent="0" justifyLastLine="0" shrinkToFit="0" readingOrder="0"/>
    </dxf>
    <dxf>
      <numFmt numFmtId="3" formatCode="#,##0"/>
      <alignment horizontal="righ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EDDA4C-5B66-4805-B902-075953EE22C5}" name="Table1" displayName="Table1" ref="A1:U16" totalsRowShown="0" headerRowDxfId="33" headerRowBorderDxfId="38" tableBorderDxfId="39">
  <autoFilter ref="A1:U16" xr:uid="{CCEDDA4C-5B66-4805-B902-075953EE22C5}"/>
  <tableColumns count="21">
    <tableColumn id="1" xr3:uid="{38A1291B-DF35-446A-B79B-6BE77987C3B4}" name="Article"/>
    <tableColumn id="2" xr3:uid="{1B28722C-B7C2-4DB2-A259-B1D28171F607}" name="GTIN(Mã Barcode)"/>
    <tableColumn id="3" xr3:uid="{33E033E2-938E-40C6-A2F3-DD17B97EBB83}" name="Style Code"/>
    <tableColumn id="4" xr3:uid="{50A087E5-E979-4C90-B28D-B70918AA8771}" name="Size"/>
    <tableColumn id="5" xr3:uid="{531032BC-31AD-4876-BB4C-671FB7C5F6EE}" name="Color"/>
    <tableColumn id="6" xr3:uid="{D125F7A8-ED30-42E0-AF9C-000CB534AB6A}" name="Site"/>
    <tableColumn id="7" xr3:uid="{F188CD4B-2FFD-42BD-8083-11CBC69141E1}" name="Storage Location"/>
    <tableColumn id="8" xr3:uid="{823CF3F2-656C-4264-AE81-530D85C1DD3D}" name="Storage Type"/>
    <tableColumn id="9" xr3:uid="{EA1155B7-6682-4099-94BE-77E867520A4A}" name="Stock Category"/>
    <tableColumn id="10" xr3:uid="{2DAE35BF-EA68-475C-9025-A9038CAF655C}" name="Storage Section Ind"/>
    <tableColumn id="11" xr3:uid="{5F4147EA-089A-4DA6-BE17-143F8ABDEB0E}" name="Storage Section"/>
    <tableColumn id="12" xr3:uid="{56C68EF2-7632-4443-9E42-0C787DEE32BA}" name="Storage Bin"/>
    <tableColumn id="13" xr3:uid="{17385038-5348-4743-AD57-46245F7CE66A}" name="Total Stock" dataDxfId="37"/>
    <tableColumn id="14" xr3:uid="{D32B13DC-22EA-440E-88D9-91EDED562895}" name="Available stock" dataDxfId="36"/>
    <tableColumn id="15" xr3:uid="{C8CAE518-F2CC-464F-9C62-86A2069CD0A3}" name="Putaway block"/>
    <tableColumn id="16" xr3:uid="{2B6DCC6F-9DBE-4CA8-A335-118954364FED}" name="Pick quantity" dataDxfId="35"/>
    <tableColumn id="17" xr3:uid="{00F8552C-68D7-45BB-B462-BB7230E86328}" name="Base Unit of Measure"/>
    <tableColumn id="18" xr3:uid="{C83B2E40-CC96-44D1-8E62-09E2F561523B}" name="Batch"/>
    <tableColumn id="19" xr3:uid="{CAF5FD1B-6D20-4B26-A65B-478DC1CB07D8}" name="TR Number"/>
    <tableColumn id="20" xr3:uid="{4CDD52E0-AF22-4BDC-9F40-358F05B8805A}" name="Transfer Order Number"/>
    <tableColumn id="21" xr3:uid="{F2F5869C-CCD2-452B-AACA-6E2202EB1B64}" name="GR Date" dataDxfId="3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AE41A-F8B8-44C4-A09D-521EB88A2C48}">
  <dimension ref="A1:F27"/>
  <sheetViews>
    <sheetView tabSelected="1" workbookViewId="0">
      <selection activeCell="J17" sqref="J17"/>
    </sheetView>
  </sheetViews>
  <sheetFormatPr defaultRowHeight="12.75" x14ac:dyDescent="0.2"/>
  <cols>
    <col min="1" max="1" width="18.42578125" bestFit="1" customWidth="1"/>
    <col min="2" max="2" width="22.42578125" bestFit="1" customWidth="1"/>
    <col min="3" max="3" width="16.28515625" bestFit="1" customWidth="1"/>
    <col min="4" max="4" width="12" bestFit="1" customWidth="1"/>
  </cols>
  <sheetData>
    <row r="1" spans="1:6" x14ac:dyDescent="0.2">
      <c r="A1" s="5" t="s">
        <v>42</v>
      </c>
      <c r="B1" s="5" t="s">
        <v>44</v>
      </c>
      <c r="C1" s="5" t="s">
        <v>17</v>
      </c>
      <c r="D1" s="5" t="s">
        <v>11</v>
      </c>
      <c r="F1" s="7" t="s">
        <v>63</v>
      </c>
    </row>
    <row r="2" spans="1:6" x14ac:dyDescent="0.2">
      <c r="A2" s="5" t="s">
        <v>0</v>
      </c>
      <c r="B2" s="5" t="s">
        <v>2</v>
      </c>
      <c r="C2" s="5">
        <v>-694</v>
      </c>
      <c r="D2" s="5">
        <v>701</v>
      </c>
      <c r="E2" s="6">
        <f>-C2</f>
        <v>694</v>
      </c>
      <c r="F2" s="5">
        <f>D2-E2</f>
        <v>7</v>
      </c>
    </row>
    <row r="3" spans="1:6" x14ac:dyDescent="0.2">
      <c r="A3" s="5" t="s">
        <v>19</v>
      </c>
      <c r="B3" s="5" t="s">
        <v>21</v>
      </c>
      <c r="C3" s="5">
        <v>-112</v>
      </c>
      <c r="D3" s="5">
        <v>113</v>
      </c>
      <c r="E3" s="6">
        <f t="shared" ref="E3:E8" si="0">-C3</f>
        <v>112</v>
      </c>
      <c r="F3" s="5">
        <f t="shared" ref="F3:F8" si="1">D3-E3</f>
        <v>1</v>
      </c>
    </row>
    <row r="4" spans="1:6" x14ac:dyDescent="0.2">
      <c r="A4" s="5" t="s">
        <v>22</v>
      </c>
      <c r="B4" s="5" t="s">
        <v>24</v>
      </c>
      <c r="C4" s="5">
        <v>-180</v>
      </c>
      <c r="D4" s="5">
        <v>181</v>
      </c>
      <c r="E4" s="6">
        <f t="shared" si="0"/>
        <v>180</v>
      </c>
      <c r="F4" s="5">
        <f t="shared" si="1"/>
        <v>1</v>
      </c>
    </row>
    <row r="5" spans="1:6" x14ac:dyDescent="0.2">
      <c r="A5" s="5" t="s">
        <v>25</v>
      </c>
      <c r="B5" s="5" t="s">
        <v>27</v>
      </c>
      <c r="C5" s="5">
        <v>-130</v>
      </c>
      <c r="D5" s="5">
        <v>131</v>
      </c>
      <c r="E5" s="6">
        <f t="shared" si="0"/>
        <v>130</v>
      </c>
      <c r="F5" s="5">
        <f t="shared" si="1"/>
        <v>1</v>
      </c>
    </row>
    <row r="6" spans="1:6" x14ac:dyDescent="0.2">
      <c r="A6" s="5" t="s">
        <v>28</v>
      </c>
      <c r="B6" s="5" t="s">
        <v>30</v>
      </c>
      <c r="C6" s="5">
        <v>-122</v>
      </c>
      <c r="D6" s="5">
        <v>123</v>
      </c>
      <c r="E6" s="6">
        <f t="shared" si="0"/>
        <v>122</v>
      </c>
      <c r="F6" s="5">
        <f t="shared" si="1"/>
        <v>1</v>
      </c>
    </row>
    <row r="7" spans="1:6" x14ac:dyDescent="0.2">
      <c r="A7" s="5" t="s">
        <v>31</v>
      </c>
      <c r="B7" s="5" t="s">
        <v>33</v>
      </c>
      <c r="C7" s="5">
        <v>-150</v>
      </c>
      <c r="D7" s="5">
        <v>151</v>
      </c>
      <c r="E7" s="6">
        <f t="shared" si="0"/>
        <v>150</v>
      </c>
      <c r="F7" s="5">
        <f t="shared" si="1"/>
        <v>1</v>
      </c>
    </row>
    <row r="8" spans="1:6" x14ac:dyDescent="0.2">
      <c r="A8" s="5" t="s">
        <v>34</v>
      </c>
      <c r="B8" s="5" t="s">
        <v>36</v>
      </c>
      <c r="C8" s="5">
        <v>-694</v>
      </c>
      <c r="D8" s="5">
        <v>700</v>
      </c>
      <c r="E8" s="6">
        <f t="shared" si="0"/>
        <v>694</v>
      </c>
      <c r="F8" s="5">
        <f t="shared" si="1"/>
        <v>6</v>
      </c>
    </row>
    <row r="9" spans="1:6" x14ac:dyDescent="0.2">
      <c r="A9" s="5" t="s">
        <v>38</v>
      </c>
      <c r="B9" s="5" t="s">
        <v>40</v>
      </c>
      <c r="C9" s="5">
        <v>694</v>
      </c>
      <c r="D9" s="5"/>
      <c r="F9">
        <v>694</v>
      </c>
    </row>
    <row r="15" spans="1:6" x14ac:dyDescent="0.2">
      <c r="A15" s="8">
        <v>600004418001</v>
      </c>
      <c r="B15" t="s">
        <v>2</v>
      </c>
      <c r="F15">
        <v>7</v>
      </c>
    </row>
    <row r="16" spans="1:6" x14ac:dyDescent="0.2">
      <c r="A16" s="9">
        <v>600004419001</v>
      </c>
      <c r="B16" s="10" t="s">
        <v>64</v>
      </c>
      <c r="C16" s="10"/>
      <c r="D16" s="10"/>
      <c r="E16" s="10"/>
      <c r="F16" s="10">
        <v>1</v>
      </c>
    </row>
    <row r="17" spans="1:6" x14ac:dyDescent="0.2">
      <c r="A17" s="9">
        <v>600004420001</v>
      </c>
      <c r="B17" s="10" t="s">
        <v>65</v>
      </c>
      <c r="C17" s="10"/>
      <c r="D17" s="10"/>
      <c r="E17" s="10"/>
      <c r="F17" s="10">
        <v>1</v>
      </c>
    </row>
    <row r="18" spans="1:6" x14ac:dyDescent="0.2">
      <c r="A18" s="9">
        <v>600004457001</v>
      </c>
      <c r="B18" s="10" t="s">
        <v>66</v>
      </c>
      <c r="C18" s="10"/>
      <c r="D18" s="10"/>
      <c r="E18" s="10"/>
      <c r="F18" s="10">
        <v>1</v>
      </c>
    </row>
    <row r="19" spans="1:6" x14ac:dyDescent="0.2">
      <c r="A19" s="8">
        <v>600004458001</v>
      </c>
      <c r="B19" t="s">
        <v>21</v>
      </c>
      <c r="F19">
        <v>1</v>
      </c>
    </row>
    <row r="20" spans="1:6" x14ac:dyDescent="0.2">
      <c r="A20" s="8">
        <v>600004459001</v>
      </c>
      <c r="B20" t="s">
        <v>24</v>
      </c>
      <c r="F20">
        <v>1</v>
      </c>
    </row>
    <row r="21" spans="1:6" x14ac:dyDescent="0.2">
      <c r="A21" s="8">
        <v>600005590001</v>
      </c>
      <c r="B21" t="s">
        <v>27</v>
      </c>
      <c r="F21">
        <v>1</v>
      </c>
    </row>
    <row r="22" spans="1:6" x14ac:dyDescent="0.2">
      <c r="A22" s="8">
        <v>600005591001</v>
      </c>
      <c r="B22" t="s">
        <v>30</v>
      </c>
      <c r="F22">
        <v>1</v>
      </c>
    </row>
    <row r="23" spans="1:6" x14ac:dyDescent="0.2">
      <c r="A23" s="9">
        <v>600005592001</v>
      </c>
      <c r="B23" s="10" t="s">
        <v>67</v>
      </c>
      <c r="C23" s="10"/>
      <c r="D23" s="10"/>
      <c r="E23" s="10"/>
      <c r="F23" s="10">
        <v>1</v>
      </c>
    </row>
    <row r="24" spans="1:6" x14ac:dyDescent="0.2">
      <c r="A24" s="8">
        <v>600005593001</v>
      </c>
      <c r="B24" t="s">
        <v>33</v>
      </c>
      <c r="F24">
        <v>1</v>
      </c>
    </row>
    <row r="25" spans="1:6" x14ac:dyDescent="0.2">
      <c r="A25" s="8">
        <v>600005760001</v>
      </c>
      <c r="B25" t="s">
        <v>36</v>
      </c>
      <c r="F25">
        <v>6</v>
      </c>
    </row>
    <row r="26" spans="1:6" x14ac:dyDescent="0.2">
      <c r="A26" s="8">
        <v>600005761002</v>
      </c>
      <c r="B26" t="s">
        <v>40</v>
      </c>
      <c r="F26">
        <v>694</v>
      </c>
    </row>
    <row r="27" spans="1:6" x14ac:dyDescent="0.2">
      <c r="A27" s="8"/>
      <c r="F27">
        <v>716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workbookViewId="0">
      <selection activeCell="G19" sqref="G19"/>
    </sheetView>
  </sheetViews>
  <sheetFormatPr defaultRowHeight="12.75" x14ac:dyDescent="0.2"/>
  <cols>
    <col min="1" max="1" width="14" bestFit="1" customWidth="1"/>
    <col min="2" max="2" width="19.5703125" customWidth="1"/>
    <col min="3" max="3" width="18" bestFit="1" customWidth="1"/>
    <col min="4" max="4" width="9" bestFit="1" customWidth="1"/>
    <col min="5" max="5" width="8" bestFit="1" customWidth="1"/>
    <col min="6" max="6" width="6.7109375" customWidth="1"/>
    <col min="7" max="7" width="18.7109375" customWidth="1"/>
    <col min="8" max="8" width="15.28515625" customWidth="1"/>
    <col min="9" max="9" width="16.85546875" customWidth="1"/>
    <col min="10" max="10" width="21.140625" customWidth="1"/>
    <col min="11" max="11" width="17.7109375" customWidth="1"/>
    <col min="12" max="12" width="13.85546875" customWidth="1"/>
    <col min="13" max="13" width="13.28515625" customWidth="1"/>
    <col min="14" max="14" width="16.85546875" customWidth="1"/>
    <col min="15" max="15" width="16.42578125" customWidth="1"/>
    <col min="16" max="16" width="14.85546875" customWidth="1"/>
    <col min="17" max="17" width="22.28515625" customWidth="1"/>
    <col min="18" max="18" width="8.28515625" customWidth="1"/>
    <col min="19" max="19" width="13.28515625" customWidth="1"/>
    <col min="20" max="20" width="24" customWidth="1"/>
    <col min="21" max="21" width="13" bestFit="1" customWidth="1"/>
  </cols>
  <sheetData>
    <row r="1" spans="1:21" ht="51" x14ac:dyDescent="0.2">
      <c r="A1" s="3" t="s">
        <v>42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  <c r="G1" s="4" t="s">
        <v>48</v>
      </c>
      <c r="H1" s="3" t="s">
        <v>49</v>
      </c>
      <c r="I1" s="3" t="s">
        <v>50</v>
      </c>
      <c r="J1" s="4" t="s">
        <v>51</v>
      </c>
      <c r="K1" s="4" t="s">
        <v>52</v>
      </c>
      <c r="L1" s="3" t="s">
        <v>53</v>
      </c>
      <c r="M1" s="3" t="s">
        <v>54</v>
      </c>
      <c r="N1" s="4" t="s">
        <v>55</v>
      </c>
      <c r="O1" s="3" t="s">
        <v>56</v>
      </c>
      <c r="P1" s="4" t="s">
        <v>57</v>
      </c>
      <c r="Q1" s="4" t="s">
        <v>58</v>
      </c>
      <c r="R1" s="3" t="s">
        <v>59</v>
      </c>
      <c r="S1" s="3" t="s">
        <v>60</v>
      </c>
      <c r="T1" s="4" t="s">
        <v>61</v>
      </c>
      <c r="U1" s="3" t="s">
        <v>62</v>
      </c>
    </row>
    <row r="2" spans="1:2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s="1">
        <v>701</v>
      </c>
      <c r="N2" s="1">
        <v>701</v>
      </c>
      <c r="O2" t="s">
        <v>8</v>
      </c>
      <c r="P2" s="1">
        <v>0</v>
      </c>
      <c r="Q2" t="s">
        <v>12</v>
      </c>
      <c r="R2" t="s">
        <v>8</v>
      </c>
      <c r="S2" t="s">
        <v>13</v>
      </c>
      <c r="T2" t="s">
        <v>14</v>
      </c>
      <c r="U2" s="2">
        <v>46084</v>
      </c>
    </row>
    <row r="3" spans="1:21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15</v>
      </c>
      <c r="I3" t="s">
        <v>8</v>
      </c>
      <c r="J3" t="s">
        <v>9</v>
      </c>
      <c r="K3" t="s">
        <v>16</v>
      </c>
      <c r="L3" t="s">
        <v>17</v>
      </c>
      <c r="M3" s="1">
        <v>-694</v>
      </c>
      <c r="N3" s="1">
        <v>-694</v>
      </c>
      <c r="O3" t="s">
        <v>8</v>
      </c>
      <c r="P3" s="1">
        <v>0</v>
      </c>
      <c r="Q3" t="s">
        <v>12</v>
      </c>
      <c r="R3" t="s">
        <v>8</v>
      </c>
      <c r="S3" t="s">
        <v>13</v>
      </c>
      <c r="T3" t="s">
        <v>18</v>
      </c>
      <c r="U3" s="2"/>
    </row>
    <row r="4" spans="1:21" x14ac:dyDescent="0.2">
      <c r="A4" t="s">
        <v>19</v>
      </c>
      <c r="B4" t="s">
        <v>20</v>
      </c>
      <c r="C4" t="s">
        <v>21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s="1">
        <v>113</v>
      </c>
      <c r="N4" s="1">
        <v>113</v>
      </c>
      <c r="O4" t="s">
        <v>8</v>
      </c>
      <c r="P4" s="1">
        <v>0</v>
      </c>
      <c r="Q4" t="s">
        <v>12</v>
      </c>
      <c r="R4" t="s">
        <v>8</v>
      </c>
      <c r="S4" t="s">
        <v>13</v>
      </c>
      <c r="T4" t="s">
        <v>14</v>
      </c>
      <c r="U4" s="2">
        <v>46084</v>
      </c>
    </row>
    <row r="5" spans="1:21" x14ac:dyDescent="0.2">
      <c r="A5" t="s">
        <v>19</v>
      </c>
      <c r="B5" t="s">
        <v>20</v>
      </c>
      <c r="C5" t="s">
        <v>21</v>
      </c>
      <c r="D5" t="s">
        <v>3</v>
      </c>
      <c r="E5" t="s">
        <v>4</v>
      </c>
      <c r="F5" t="s">
        <v>5</v>
      </c>
      <c r="G5" t="s">
        <v>6</v>
      </c>
      <c r="H5" t="s">
        <v>15</v>
      </c>
      <c r="I5" t="s">
        <v>8</v>
      </c>
      <c r="J5" t="s">
        <v>9</v>
      </c>
      <c r="K5" t="s">
        <v>16</v>
      </c>
      <c r="L5" t="s">
        <v>17</v>
      </c>
      <c r="M5" s="1">
        <v>-112</v>
      </c>
      <c r="N5" s="1">
        <v>-112</v>
      </c>
      <c r="O5" t="s">
        <v>8</v>
      </c>
      <c r="P5" s="1">
        <v>0</v>
      </c>
      <c r="Q5" t="s">
        <v>12</v>
      </c>
      <c r="R5" t="s">
        <v>8</v>
      </c>
      <c r="S5" t="s">
        <v>13</v>
      </c>
      <c r="T5" t="s">
        <v>18</v>
      </c>
      <c r="U5" s="2"/>
    </row>
    <row r="6" spans="1:21" x14ac:dyDescent="0.2">
      <c r="A6" t="s">
        <v>22</v>
      </c>
      <c r="B6" t="s">
        <v>23</v>
      </c>
      <c r="C6" t="s">
        <v>24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s="1">
        <v>181</v>
      </c>
      <c r="N6" s="1">
        <v>181</v>
      </c>
      <c r="O6" t="s">
        <v>8</v>
      </c>
      <c r="P6" s="1">
        <v>0</v>
      </c>
      <c r="Q6" t="s">
        <v>12</v>
      </c>
      <c r="R6" t="s">
        <v>8</v>
      </c>
      <c r="S6" t="s">
        <v>13</v>
      </c>
      <c r="T6" t="s">
        <v>14</v>
      </c>
      <c r="U6" s="2">
        <v>46084</v>
      </c>
    </row>
    <row r="7" spans="1:21" x14ac:dyDescent="0.2">
      <c r="A7" t="s">
        <v>22</v>
      </c>
      <c r="B7" t="s">
        <v>23</v>
      </c>
      <c r="C7" t="s">
        <v>24</v>
      </c>
      <c r="D7" t="s">
        <v>3</v>
      </c>
      <c r="E7" t="s">
        <v>4</v>
      </c>
      <c r="F7" t="s">
        <v>5</v>
      </c>
      <c r="G7" t="s">
        <v>6</v>
      </c>
      <c r="H7" t="s">
        <v>15</v>
      </c>
      <c r="I7" t="s">
        <v>8</v>
      </c>
      <c r="J7" t="s">
        <v>9</v>
      </c>
      <c r="K7" t="s">
        <v>16</v>
      </c>
      <c r="L7" t="s">
        <v>17</v>
      </c>
      <c r="M7" s="1">
        <v>-180</v>
      </c>
      <c r="N7" s="1">
        <v>-180</v>
      </c>
      <c r="O7" t="s">
        <v>8</v>
      </c>
      <c r="P7" s="1">
        <v>0</v>
      </c>
      <c r="Q7" t="s">
        <v>12</v>
      </c>
      <c r="R7" t="s">
        <v>8</v>
      </c>
      <c r="S7" t="s">
        <v>13</v>
      </c>
      <c r="T7" t="s">
        <v>18</v>
      </c>
      <c r="U7" s="2"/>
    </row>
    <row r="8" spans="1:21" x14ac:dyDescent="0.2">
      <c r="A8" t="s">
        <v>25</v>
      </c>
      <c r="B8" t="s">
        <v>26</v>
      </c>
      <c r="C8" t="s">
        <v>27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s="1">
        <v>131</v>
      </c>
      <c r="N8" s="1">
        <v>131</v>
      </c>
      <c r="O8" t="s">
        <v>8</v>
      </c>
      <c r="P8" s="1">
        <v>0</v>
      </c>
      <c r="Q8" t="s">
        <v>12</v>
      </c>
      <c r="R8" t="s">
        <v>8</v>
      </c>
      <c r="S8" t="s">
        <v>13</v>
      </c>
      <c r="T8" t="s">
        <v>14</v>
      </c>
      <c r="U8" s="2">
        <v>46084</v>
      </c>
    </row>
    <row r="9" spans="1:21" x14ac:dyDescent="0.2">
      <c r="A9" t="s">
        <v>25</v>
      </c>
      <c r="B9" t="s">
        <v>26</v>
      </c>
      <c r="C9" t="s">
        <v>27</v>
      </c>
      <c r="D9" t="s">
        <v>3</v>
      </c>
      <c r="E9" t="s">
        <v>4</v>
      </c>
      <c r="F9" t="s">
        <v>5</v>
      </c>
      <c r="G9" t="s">
        <v>6</v>
      </c>
      <c r="H9" t="s">
        <v>15</v>
      </c>
      <c r="I9" t="s">
        <v>8</v>
      </c>
      <c r="J9" t="s">
        <v>9</v>
      </c>
      <c r="K9" t="s">
        <v>16</v>
      </c>
      <c r="L9" t="s">
        <v>17</v>
      </c>
      <c r="M9" s="1">
        <v>-130</v>
      </c>
      <c r="N9" s="1">
        <v>-130</v>
      </c>
      <c r="O9" t="s">
        <v>8</v>
      </c>
      <c r="P9" s="1">
        <v>0</v>
      </c>
      <c r="Q9" t="s">
        <v>12</v>
      </c>
      <c r="R9" t="s">
        <v>8</v>
      </c>
      <c r="S9" t="s">
        <v>13</v>
      </c>
      <c r="T9" t="s">
        <v>18</v>
      </c>
      <c r="U9" s="2"/>
    </row>
    <row r="10" spans="1:21" x14ac:dyDescent="0.2">
      <c r="A10" t="s">
        <v>28</v>
      </c>
      <c r="B10" t="s">
        <v>29</v>
      </c>
      <c r="C10" t="s">
        <v>30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s="1">
        <v>123</v>
      </c>
      <c r="N10" s="1">
        <v>123</v>
      </c>
      <c r="O10" t="s">
        <v>8</v>
      </c>
      <c r="P10" s="1">
        <v>0</v>
      </c>
      <c r="Q10" t="s">
        <v>12</v>
      </c>
      <c r="R10" t="s">
        <v>8</v>
      </c>
      <c r="S10" t="s">
        <v>13</v>
      </c>
      <c r="T10" t="s">
        <v>14</v>
      </c>
      <c r="U10" s="2">
        <v>46084</v>
      </c>
    </row>
    <row r="11" spans="1:21" x14ac:dyDescent="0.2">
      <c r="A11" t="s">
        <v>28</v>
      </c>
      <c r="B11" t="s">
        <v>29</v>
      </c>
      <c r="C11" t="s">
        <v>30</v>
      </c>
      <c r="D11" t="s">
        <v>3</v>
      </c>
      <c r="E11" t="s">
        <v>4</v>
      </c>
      <c r="F11" t="s">
        <v>5</v>
      </c>
      <c r="G11" t="s">
        <v>6</v>
      </c>
      <c r="H11" t="s">
        <v>15</v>
      </c>
      <c r="I11" t="s">
        <v>8</v>
      </c>
      <c r="J11" t="s">
        <v>9</v>
      </c>
      <c r="K11" t="s">
        <v>16</v>
      </c>
      <c r="L11" t="s">
        <v>17</v>
      </c>
      <c r="M11" s="1">
        <v>-122</v>
      </c>
      <c r="N11" s="1">
        <v>-122</v>
      </c>
      <c r="O11" t="s">
        <v>8</v>
      </c>
      <c r="P11" s="1">
        <v>0</v>
      </c>
      <c r="Q11" t="s">
        <v>12</v>
      </c>
      <c r="R11" t="s">
        <v>8</v>
      </c>
      <c r="S11" t="s">
        <v>13</v>
      </c>
      <c r="T11" t="s">
        <v>18</v>
      </c>
      <c r="U11" s="2"/>
    </row>
    <row r="12" spans="1:21" x14ac:dyDescent="0.2">
      <c r="A12" t="s">
        <v>31</v>
      </c>
      <c r="B12" t="s">
        <v>32</v>
      </c>
      <c r="C12" t="s">
        <v>33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s="1">
        <v>151</v>
      </c>
      <c r="N12" s="1">
        <v>151</v>
      </c>
      <c r="O12" t="s">
        <v>8</v>
      </c>
      <c r="P12" s="1">
        <v>0</v>
      </c>
      <c r="Q12" t="s">
        <v>12</v>
      </c>
      <c r="R12" t="s">
        <v>8</v>
      </c>
      <c r="S12" t="s">
        <v>13</v>
      </c>
      <c r="T12" t="s">
        <v>14</v>
      </c>
      <c r="U12" s="2">
        <v>46084</v>
      </c>
    </row>
    <row r="13" spans="1:21" x14ac:dyDescent="0.2">
      <c r="A13" t="s">
        <v>31</v>
      </c>
      <c r="B13" t="s">
        <v>32</v>
      </c>
      <c r="C13" t="s">
        <v>33</v>
      </c>
      <c r="D13" t="s">
        <v>3</v>
      </c>
      <c r="E13" t="s">
        <v>4</v>
      </c>
      <c r="F13" t="s">
        <v>5</v>
      </c>
      <c r="G13" t="s">
        <v>6</v>
      </c>
      <c r="H13" t="s">
        <v>15</v>
      </c>
      <c r="I13" t="s">
        <v>8</v>
      </c>
      <c r="J13" t="s">
        <v>9</v>
      </c>
      <c r="K13" t="s">
        <v>16</v>
      </c>
      <c r="L13" t="s">
        <v>17</v>
      </c>
      <c r="M13" s="1">
        <v>-150</v>
      </c>
      <c r="N13" s="1">
        <v>-150</v>
      </c>
      <c r="O13" t="s">
        <v>8</v>
      </c>
      <c r="P13" s="1">
        <v>0</v>
      </c>
      <c r="Q13" t="s">
        <v>12</v>
      </c>
      <c r="R13" t="s">
        <v>8</v>
      </c>
      <c r="S13" t="s">
        <v>13</v>
      </c>
      <c r="T13" t="s">
        <v>18</v>
      </c>
      <c r="U13" s="2"/>
    </row>
    <row r="14" spans="1:21" x14ac:dyDescent="0.2">
      <c r="A14" t="s">
        <v>34</v>
      </c>
      <c r="B14" t="s">
        <v>35</v>
      </c>
      <c r="C14" t="s">
        <v>36</v>
      </c>
      <c r="D14" t="s">
        <v>3</v>
      </c>
      <c r="E14" t="s">
        <v>37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s="1">
        <v>700</v>
      </c>
      <c r="N14" s="1">
        <v>700</v>
      </c>
      <c r="O14" t="s">
        <v>8</v>
      </c>
      <c r="P14" s="1">
        <v>0</v>
      </c>
      <c r="Q14" t="s">
        <v>12</v>
      </c>
      <c r="R14" t="s">
        <v>8</v>
      </c>
      <c r="S14" t="s">
        <v>13</v>
      </c>
      <c r="T14" t="s">
        <v>14</v>
      </c>
      <c r="U14" s="2">
        <v>46084</v>
      </c>
    </row>
    <row r="15" spans="1:21" x14ac:dyDescent="0.2">
      <c r="A15" t="s">
        <v>34</v>
      </c>
      <c r="B15" t="s">
        <v>35</v>
      </c>
      <c r="C15" t="s">
        <v>36</v>
      </c>
      <c r="D15" t="s">
        <v>3</v>
      </c>
      <c r="E15" t="s">
        <v>37</v>
      </c>
      <c r="F15" t="s">
        <v>5</v>
      </c>
      <c r="G15" t="s">
        <v>6</v>
      </c>
      <c r="H15" t="s">
        <v>15</v>
      </c>
      <c r="I15" t="s">
        <v>8</v>
      </c>
      <c r="J15" t="s">
        <v>9</v>
      </c>
      <c r="K15" t="s">
        <v>16</v>
      </c>
      <c r="L15" t="s">
        <v>17</v>
      </c>
      <c r="M15" s="1">
        <v>-694</v>
      </c>
      <c r="N15" s="1">
        <v>-694</v>
      </c>
      <c r="O15" t="s">
        <v>8</v>
      </c>
      <c r="P15" s="1">
        <v>0</v>
      </c>
      <c r="Q15" t="s">
        <v>12</v>
      </c>
      <c r="R15" t="s">
        <v>8</v>
      </c>
      <c r="S15" t="s">
        <v>13</v>
      </c>
      <c r="T15" t="s">
        <v>18</v>
      </c>
      <c r="U15" s="2"/>
    </row>
    <row r="16" spans="1:21" x14ac:dyDescent="0.2">
      <c r="A16" t="s">
        <v>38</v>
      </c>
      <c r="B16" t="s">
        <v>39</v>
      </c>
      <c r="C16" t="s">
        <v>40</v>
      </c>
      <c r="D16" t="s">
        <v>3</v>
      </c>
      <c r="E16" t="s">
        <v>37</v>
      </c>
      <c r="F16" t="s">
        <v>5</v>
      </c>
      <c r="G16" t="s">
        <v>6</v>
      </c>
      <c r="H16" t="s">
        <v>15</v>
      </c>
      <c r="I16" t="s">
        <v>8</v>
      </c>
      <c r="J16" t="s">
        <v>9</v>
      </c>
      <c r="K16" t="s">
        <v>16</v>
      </c>
      <c r="L16" t="s">
        <v>17</v>
      </c>
      <c r="M16" s="1">
        <v>694</v>
      </c>
      <c r="N16" s="1">
        <v>694</v>
      </c>
      <c r="O16" t="s">
        <v>8</v>
      </c>
      <c r="P16" s="1">
        <v>0</v>
      </c>
      <c r="Q16" t="s">
        <v>12</v>
      </c>
      <c r="R16" t="s">
        <v>8</v>
      </c>
      <c r="S16" t="s">
        <v>13</v>
      </c>
      <c r="T16" t="s">
        <v>41</v>
      </c>
      <c r="U16" s="2">
        <v>46086</v>
      </c>
    </row>
  </sheetData>
  <phoneticPr fontId="0" type="noConversion"/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Doan Thanh Thuan, Logistics Data Executive, Logistics,</cp:lastModifiedBy>
  <cp:revision>1</cp:revision>
  <dcterms:modified xsi:type="dcterms:W3CDTF">2026-03-05T09:56:05Z</dcterms:modified>
  <cp:category/>
</cp:coreProperties>
</file>